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ferna\Documents\Cardoza 2022\Material\"/>
    </mc:Choice>
  </mc:AlternateContent>
  <bookViews>
    <workbookView xWindow="0" yWindow="0" windowWidth="15360" windowHeight="7650"/>
  </bookViews>
  <sheets>
    <sheet name="Hoja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22" i="1" l="1"/>
  <c r="S23" i="1"/>
  <c r="S24" i="1"/>
  <c r="S25" i="1"/>
  <c r="S26" i="1"/>
  <c r="S27" i="1"/>
  <c r="S28" i="1"/>
  <c r="S29" i="1"/>
  <c r="S30" i="1"/>
  <c r="S21" i="1"/>
  <c r="K21" i="1"/>
  <c r="K22" i="1"/>
  <c r="K23" i="1"/>
  <c r="K24" i="1"/>
  <c r="K25" i="1"/>
  <c r="K26" i="1"/>
  <c r="K27" i="1"/>
  <c r="K28" i="1"/>
  <c r="K29" i="1"/>
  <c r="K30" i="1"/>
  <c r="O22" i="1"/>
  <c r="O23" i="1"/>
  <c r="O24" i="1"/>
  <c r="O25" i="1"/>
  <c r="O26" i="1"/>
  <c r="O27" i="1"/>
  <c r="O28" i="1"/>
  <c r="O29" i="1"/>
  <c r="O30" i="1"/>
  <c r="O21" i="1"/>
  <c r="K6" i="1" l="1"/>
  <c r="K7" i="1"/>
  <c r="K8" i="1"/>
  <c r="K9" i="1"/>
  <c r="K10" i="1"/>
  <c r="K11" i="1"/>
  <c r="K12" i="1"/>
  <c r="K13" i="1"/>
  <c r="K14" i="1"/>
  <c r="K15" i="1"/>
</calcChain>
</file>

<file path=xl/sharedStrings.xml><?xml version="1.0" encoding="utf-8"?>
<sst xmlns="http://schemas.openxmlformats.org/spreadsheetml/2006/main" count="173" uniqueCount="137">
  <si>
    <t>Alumno 1</t>
  </si>
  <si>
    <t>Alumno 2</t>
  </si>
  <si>
    <t>Alumno 3</t>
  </si>
  <si>
    <t>Alumno 4</t>
  </si>
  <si>
    <t>Alumno 5</t>
  </si>
  <si>
    <t>Alumno 6</t>
  </si>
  <si>
    <t>Alumno 7</t>
  </si>
  <si>
    <t>Alumno 8</t>
  </si>
  <si>
    <t>Alumno 9</t>
  </si>
  <si>
    <t>Alumno 10</t>
  </si>
  <si>
    <t>Nombre</t>
  </si>
  <si>
    <t>Edad</t>
  </si>
  <si>
    <t>Mayor Edad</t>
  </si>
  <si>
    <t>Nota final</t>
  </si>
  <si>
    <t>Aprobado</t>
  </si>
  <si>
    <t>Empleado</t>
  </si>
  <si>
    <t>Vendedor</t>
  </si>
  <si>
    <t>Cantidad Venta</t>
  </si>
  <si>
    <t>Vendedor 1</t>
  </si>
  <si>
    <t>Vendedor 2</t>
  </si>
  <si>
    <t>Vendedor 3</t>
  </si>
  <si>
    <t>Vendedor 4</t>
  </si>
  <si>
    <t>Vendedor 5</t>
  </si>
  <si>
    <t>Vendedor 6</t>
  </si>
  <si>
    <t>Vendedor 7</t>
  </si>
  <si>
    <t>Vendedor 8</t>
  </si>
  <si>
    <t>Vendedor 9</t>
  </si>
  <si>
    <t>Vendedor 10</t>
  </si>
  <si>
    <t>Meta Venta</t>
  </si>
  <si>
    <t>Nota Promocion</t>
  </si>
  <si>
    <t>Mayoria Edad</t>
  </si>
  <si>
    <t>Persona 1</t>
  </si>
  <si>
    <t>Persona 2</t>
  </si>
  <si>
    <t>Persona 3</t>
  </si>
  <si>
    <t>Persona 4</t>
  </si>
  <si>
    <t>Persona 5</t>
  </si>
  <si>
    <t>Persona 6</t>
  </si>
  <si>
    <t>Persona 7</t>
  </si>
  <si>
    <t>Persona 8</t>
  </si>
  <si>
    <t>Persona 9</t>
  </si>
  <si>
    <t>Persona 10</t>
  </si>
  <si>
    <r>
      <rPr>
        <b/>
        <sz val="11"/>
        <color theme="1"/>
        <rFont val="Calibri"/>
        <family val="2"/>
        <scheme val="minor"/>
      </rPr>
      <t>Resuelve</t>
    </r>
    <r>
      <rPr>
        <sz val="11"/>
        <color theme="1"/>
        <rFont val="Calibri"/>
        <family val="2"/>
        <scheme val="minor"/>
      </rPr>
      <t xml:space="preserve"> indicando con un </t>
    </r>
    <r>
      <rPr>
        <b/>
        <sz val="11"/>
        <color theme="1"/>
        <rFont val="Calibri"/>
        <family val="2"/>
        <scheme val="minor"/>
      </rPr>
      <t>verdadero</t>
    </r>
    <r>
      <rPr>
        <sz val="11"/>
        <color theme="1"/>
        <rFont val="Calibri"/>
        <family val="2"/>
        <scheme val="minor"/>
      </rPr>
      <t xml:space="preserve"> o </t>
    </r>
    <r>
      <rPr>
        <b/>
        <sz val="11"/>
        <color theme="1"/>
        <rFont val="Calibri"/>
        <family val="2"/>
        <scheme val="minor"/>
      </rPr>
      <t>falso</t>
    </r>
    <r>
      <rPr>
        <sz val="11"/>
        <color theme="1"/>
        <rFont val="Calibri"/>
        <family val="2"/>
        <scheme val="minor"/>
      </rPr>
      <t xml:space="preserve"> las tablas siguientes, usando operadores lógicos</t>
    </r>
  </si>
  <si>
    <t>Llego a Meta</t>
  </si>
  <si>
    <t>Día 1</t>
  </si>
  <si>
    <t>Día 2</t>
  </si>
  <si>
    <t>Día 3</t>
  </si>
  <si>
    <t>Día 4</t>
  </si>
  <si>
    <t>Día 5</t>
  </si>
  <si>
    <t>Día 6</t>
  </si>
  <si>
    <t>Día 7</t>
  </si>
  <si>
    <t>Día 8</t>
  </si>
  <si>
    <t>Día 9</t>
  </si>
  <si>
    <t>Día 10</t>
  </si>
  <si>
    <t>Unidades</t>
  </si>
  <si>
    <t>Consumo Máximo</t>
  </si>
  <si>
    <t>Cantidad</t>
  </si>
  <si>
    <t>Excedido</t>
  </si>
  <si>
    <t>Postulante 1</t>
  </si>
  <si>
    <t>Postulante 2</t>
  </si>
  <si>
    <t>Postulante 3</t>
  </si>
  <si>
    <t>Postulante 4</t>
  </si>
  <si>
    <t>Postulante 5</t>
  </si>
  <si>
    <t>Postulante 6</t>
  </si>
  <si>
    <t>Postulante 7</t>
  </si>
  <si>
    <t>Postulante 8</t>
  </si>
  <si>
    <t>Postulante 9</t>
  </si>
  <si>
    <t>Postulante 10</t>
  </si>
  <si>
    <t>SI</t>
  </si>
  <si>
    <t>NO</t>
  </si>
  <si>
    <t>IDIOMAS</t>
  </si>
  <si>
    <t>DOS</t>
  </si>
  <si>
    <t>TRES</t>
  </si>
  <si>
    <t>Contratacion</t>
  </si>
  <si>
    <t>Excursión</t>
  </si>
  <si>
    <t>Permiso</t>
  </si>
  <si>
    <t>Ruta Corta</t>
  </si>
  <si>
    <t>Viaje 1</t>
  </si>
  <si>
    <t>Viaje 2</t>
  </si>
  <si>
    <t>Viaje 3</t>
  </si>
  <si>
    <t>Viaje 4</t>
  </si>
  <si>
    <t>Viaje 5</t>
  </si>
  <si>
    <t>Viaje 6</t>
  </si>
  <si>
    <t>Viaje 7</t>
  </si>
  <si>
    <t>Viaje 8</t>
  </si>
  <si>
    <t>Viaje 9</t>
  </si>
  <si>
    <t>Viaje 10</t>
  </si>
  <si>
    <t>Kms.</t>
  </si>
  <si>
    <t>Viaje</t>
  </si>
  <si>
    <t>Clima Frio</t>
  </si>
  <si>
    <t>Temperatura</t>
  </si>
  <si>
    <t>Pais</t>
  </si>
  <si>
    <t>País 1</t>
  </si>
  <si>
    <t>País 2</t>
  </si>
  <si>
    <t>País 3</t>
  </si>
  <si>
    <t>País 4</t>
  </si>
  <si>
    <t>País 5</t>
  </si>
  <si>
    <t>País 6</t>
  </si>
  <si>
    <t>País 7</t>
  </si>
  <si>
    <t>País 8</t>
  </si>
  <si>
    <t>País 9</t>
  </si>
  <si>
    <t>País 10</t>
  </si>
  <si>
    <t>Dura</t>
  </si>
  <si>
    <t>Suave</t>
  </si>
  <si>
    <t>Semiduro</t>
  </si>
  <si>
    <t>Muy suave</t>
  </si>
  <si>
    <t>Blanda</t>
  </si>
  <si>
    <t>Madera</t>
  </si>
  <si>
    <t>Lote 1</t>
  </si>
  <si>
    <t>Lote 2</t>
  </si>
  <si>
    <t>Lote 3</t>
  </si>
  <si>
    <t>Lote 4</t>
  </si>
  <si>
    <t>Lote 5</t>
  </si>
  <si>
    <t>Lote 6</t>
  </si>
  <si>
    <t>Lote 7</t>
  </si>
  <si>
    <t>Lote 8</t>
  </si>
  <si>
    <t>Lote 9</t>
  </si>
  <si>
    <t>Lote 10</t>
  </si>
  <si>
    <t>Rechazar Lote</t>
  </si>
  <si>
    <t>Acepta si</t>
  </si>
  <si>
    <t>Tipo</t>
  </si>
  <si>
    <t>Familia 1</t>
  </si>
  <si>
    <t>Familia 2</t>
  </si>
  <si>
    <t>Familia 3</t>
  </si>
  <si>
    <t>Familia 4</t>
  </si>
  <si>
    <t>Familia 5</t>
  </si>
  <si>
    <t>Familia 6</t>
  </si>
  <si>
    <t>Familia 7</t>
  </si>
  <si>
    <t>Familia 8</t>
  </si>
  <si>
    <t>Familia 9</t>
  </si>
  <si>
    <t>Familia 10</t>
  </si>
  <si>
    <t>Integrantes</t>
  </si>
  <si>
    <t>Familia Grande</t>
  </si>
  <si>
    <t>Familia pequeña si tiene menos de 5 miembros</t>
  </si>
  <si>
    <t>La ruta es corta si tiene menos de 50 Km</t>
  </si>
  <si>
    <t>Si habla dos o mas Idiomas</t>
  </si>
  <si>
    <t>Sin permiso no irá a excursión</t>
  </si>
  <si>
    <t xml:space="preserve">Se considera clima frio si hay menos de 15° C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</si>
</sst>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4" formatCode="_-&quot;Q&quot;* #,##0.00_-;\-&quot;Q&quot;* #,##0.00_-;_-&quot;Q&quot;* &quot;-&quot;??_-;_-@_-"/>
    <numFmt numFmtId="164" formatCode="[$-F400]h:mm:ss\ AM/PM"/>
    <numFmt numFmtId="165" formatCode="General\ &quot;° C&quot;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8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8" tint="-0.499984740745262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47">
    <xf numFmtId="0" fontId="0" fillId="0" borderId="0" xfId="0"/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4" xfId="0" applyBorder="1"/>
    <xf numFmtId="0" fontId="0" fillId="0" borderId="0" xfId="0" applyBorder="1" applyAlignment="1">
      <alignment horizontal="center"/>
    </xf>
    <xf numFmtId="0" fontId="0" fillId="0" borderId="5" xfId="0" applyBorder="1"/>
    <xf numFmtId="0" fontId="0" fillId="0" borderId="6" xfId="0" applyBorder="1"/>
    <xf numFmtId="0" fontId="0" fillId="0" borderId="7" xfId="0" applyBorder="1" applyAlignment="1">
      <alignment horizontal="center"/>
    </xf>
    <xf numFmtId="0" fontId="0" fillId="0" borderId="8" xfId="0" applyBorder="1"/>
    <xf numFmtId="164" fontId="0" fillId="0" borderId="0" xfId="0" applyNumberFormat="1"/>
    <xf numFmtId="44" fontId="2" fillId="0" borderId="0" xfId="1" applyFont="1" applyAlignment="1">
      <alignment horizontal="center"/>
    </xf>
    <xf numFmtId="44" fontId="0" fillId="0" borderId="0" xfId="1" applyFont="1" applyBorder="1" applyAlignment="1">
      <alignment horizontal="center"/>
    </xf>
    <xf numFmtId="44" fontId="0" fillId="0" borderId="7" xfId="1" applyFont="1" applyBorder="1" applyAlignment="1">
      <alignment horizontal="center"/>
    </xf>
    <xf numFmtId="0" fontId="2" fillId="0" borderId="0" xfId="0" applyFont="1" applyAlignment="1">
      <alignment horizontal="right"/>
    </xf>
    <xf numFmtId="0" fontId="3" fillId="2" borderId="1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/>
    </xf>
    <xf numFmtId="0" fontId="3" fillId="3" borderId="3" xfId="0" applyFont="1" applyFill="1" applyBorder="1" applyAlignment="1">
      <alignment horizontal="center"/>
    </xf>
    <xf numFmtId="0" fontId="3" fillId="4" borderId="1" xfId="0" applyFont="1" applyFill="1" applyBorder="1" applyAlignment="1">
      <alignment horizontal="center"/>
    </xf>
    <xf numFmtId="0" fontId="3" fillId="4" borderId="2" xfId="0" applyFont="1" applyFill="1" applyBorder="1" applyAlignment="1">
      <alignment horizontal="center"/>
    </xf>
    <xf numFmtId="0" fontId="3" fillId="4" borderId="3" xfId="0" applyFont="1" applyFill="1" applyBorder="1" applyAlignment="1">
      <alignment horizontal="center"/>
    </xf>
    <xf numFmtId="0" fontId="3" fillId="5" borderId="1" xfId="0" applyFont="1" applyFill="1" applyBorder="1" applyAlignment="1">
      <alignment horizontal="center"/>
    </xf>
    <xf numFmtId="0" fontId="3" fillId="5" borderId="2" xfId="0" applyFont="1" applyFill="1" applyBorder="1" applyAlignment="1">
      <alignment horizontal="center"/>
    </xf>
    <xf numFmtId="0" fontId="3" fillId="5" borderId="3" xfId="0" applyFont="1" applyFill="1" applyBorder="1" applyAlignment="1">
      <alignment horizontal="center"/>
    </xf>
    <xf numFmtId="0" fontId="2" fillId="0" borderId="0" xfId="0" applyNumberFormat="1" applyFont="1" applyAlignment="1">
      <alignment horizontal="center"/>
    </xf>
    <xf numFmtId="0" fontId="4" fillId="0" borderId="0" xfId="0" applyFont="1" applyAlignment="1">
      <alignment horizontal="center" vertical="center"/>
    </xf>
    <xf numFmtId="0" fontId="0" fillId="0" borderId="0" xfId="0" applyNumberFormat="1" applyBorder="1" applyAlignment="1">
      <alignment horizontal="center"/>
    </xf>
    <xf numFmtId="0" fontId="0" fillId="0" borderId="7" xfId="0" applyNumberFormat="1" applyBorder="1" applyAlignment="1">
      <alignment horizontal="center"/>
    </xf>
    <xf numFmtId="0" fontId="3" fillId="6" borderId="1" xfId="0" applyFont="1" applyFill="1" applyBorder="1" applyAlignment="1">
      <alignment horizontal="center"/>
    </xf>
    <xf numFmtId="0" fontId="3" fillId="6" borderId="2" xfId="0" applyFont="1" applyFill="1" applyBorder="1" applyAlignment="1">
      <alignment horizontal="center"/>
    </xf>
    <xf numFmtId="0" fontId="3" fillId="6" borderId="3" xfId="0" applyFont="1" applyFill="1" applyBorder="1" applyAlignment="1">
      <alignment horizontal="center"/>
    </xf>
    <xf numFmtId="0" fontId="3" fillId="7" borderId="1" xfId="0" applyFont="1" applyFill="1" applyBorder="1" applyAlignment="1">
      <alignment horizontal="center"/>
    </xf>
    <xf numFmtId="0" fontId="3" fillId="7" borderId="2" xfId="0" applyFont="1" applyFill="1" applyBorder="1" applyAlignment="1">
      <alignment horizontal="center"/>
    </xf>
    <xf numFmtId="0" fontId="3" fillId="7" borderId="3" xfId="0" applyFont="1" applyFill="1" applyBorder="1" applyAlignment="1">
      <alignment horizontal="center"/>
    </xf>
    <xf numFmtId="0" fontId="0" fillId="0" borderId="0" xfId="1" applyNumberFormat="1" applyFont="1" applyBorder="1" applyAlignment="1">
      <alignment horizontal="center"/>
    </xf>
    <xf numFmtId="0" fontId="0" fillId="0" borderId="7" xfId="1" applyNumberFormat="1" applyFont="1" applyBorder="1" applyAlignment="1">
      <alignment horizontal="center"/>
    </xf>
    <xf numFmtId="165" fontId="0" fillId="0" borderId="0" xfId="1" applyNumberFormat="1" applyFont="1" applyBorder="1" applyAlignment="1">
      <alignment horizontal="center"/>
    </xf>
    <xf numFmtId="165" fontId="0" fillId="0" borderId="7" xfId="1" applyNumberFormat="1" applyFont="1" applyBorder="1" applyAlignment="1">
      <alignment horizontal="center"/>
    </xf>
    <xf numFmtId="0" fontId="3" fillId="8" borderId="1" xfId="0" applyFont="1" applyFill="1" applyBorder="1" applyAlignment="1">
      <alignment horizontal="center"/>
    </xf>
    <xf numFmtId="0" fontId="3" fillId="8" borderId="2" xfId="0" applyFont="1" applyFill="1" applyBorder="1" applyAlignment="1">
      <alignment horizontal="center"/>
    </xf>
    <xf numFmtId="0" fontId="3" fillId="8" borderId="3" xfId="0" applyFont="1" applyFill="1" applyBorder="1" applyAlignment="1">
      <alignment horizontal="center"/>
    </xf>
    <xf numFmtId="0" fontId="3" fillId="9" borderId="1" xfId="0" applyFont="1" applyFill="1" applyBorder="1" applyAlignment="1">
      <alignment horizontal="center"/>
    </xf>
    <xf numFmtId="0" fontId="3" fillId="9" borderId="2" xfId="0" applyFont="1" applyFill="1" applyBorder="1" applyAlignment="1">
      <alignment horizontal="center"/>
    </xf>
    <xf numFmtId="0" fontId="3" fillId="9" borderId="3" xfId="0" applyFont="1" applyFill="1" applyBorder="1" applyAlignment="1">
      <alignment horizontal="center"/>
    </xf>
    <xf numFmtId="0" fontId="2" fillId="0" borderId="7" xfId="0" applyFont="1" applyBorder="1" applyAlignment="1">
      <alignment horizontal="center"/>
    </xf>
  </cellXfs>
  <cellStyles count="2">
    <cellStyle name="Mon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T30"/>
  <sheetViews>
    <sheetView tabSelected="1" zoomScale="85" zoomScaleNormal="85" workbookViewId="0">
      <selection activeCell="O18" sqref="O18"/>
    </sheetView>
  </sheetViews>
  <sheetFormatPr baseColWidth="10" defaultRowHeight="15" x14ac:dyDescent="0.25"/>
  <cols>
    <col min="1" max="1" width="5.28515625" customWidth="1"/>
    <col min="2" max="2" width="12.140625" customWidth="1"/>
    <col min="3" max="3" width="12.85546875" bestFit="1" customWidth="1"/>
    <col min="4" max="4" width="13.5703125" customWidth="1"/>
    <col min="5" max="5" width="7.28515625" customWidth="1"/>
    <col min="6" max="6" width="12.7109375" customWidth="1"/>
    <col min="8" max="8" width="11.85546875" bestFit="1" customWidth="1"/>
    <col min="9" max="9" width="8.7109375" customWidth="1"/>
    <col min="10" max="10" width="15" bestFit="1" customWidth="1"/>
    <col min="11" max="11" width="15" customWidth="1"/>
    <col min="12" max="12" width="16.28515625" bestFit="1" customWidth="1"/>
    <col min="13" max="13" width="7.42578125" customWidth="1"/>
    <col min="15" max="15" width="14.5703125" bestFit="1" customWidth="1"/>
    <col min="16" max="16" width="16.5703125" bestFit="1" customWidth="1"/>
    <col min="18" max="18" width="12.5703125" bestFit="1" customWidth="1"/>
    <col min="19" max="19" width="14.5703125" bestFit="1" customWidth="1"/>
    <col min="20" max="20" width="19.28515625" bestFit="1" customWidth="1"/>
  </cols>
  <sheetData>
    <row r="1" spans="2:20" x14ac:dyDescent="0.25">
      <c r="B1" t="s">
        <v>41</v>
      </c>
    </row>
    <row r="3" spans="2:20" x14ac:dyDescent="0.25">
      <c r="C3" s="2"/>
      <c r="D3" s="2"/>
      <c r="L3" s="27" t="s">
        <v>53</v>
      </c>
    </row>
    <row r="4" spans="2:20" ht="15.75" thickBot="1" x14ac:dyDescent="0.3">
      <c r="C4" s="13" t="s">
        <v>30</v>
      </c>
      <c r="D4" s="1">
        <v>18</v>
      </c>
      <c r="E4" s="1"/>
      <c r="F4" s="1"/>
      <c r="G4" s="13" t="s">
        <v>29</v>
      </c>
      <c r="H4" s="1">
        <v>70</v>
      </c>
      <c r="I4" s="1"/>
      <c r="J4" s="1"/>
      <c r="K4" s="13" t="s">
        <v>54</v>
      </c>
      <c r="L4" s="26">
        <v>500</v>
      </c>
      <c r="M4" s="1"/>
      <c r="N4" s="1"/>
      <c r="O4" s="13" t="s">
        <v>28</v>
      </c>
      <c r="P4" s="10">
        <v>35000</v>
      </c>
      <c r="R4" s="1"/>
      <c r="S4" s="13" t="s">
        <v>118</v>
      </c>
      <c r="T4" s="10" t="s">
        <v>101</v>
      </c>
    </row>
    <row r="5" spans="2:20" x14ac:dyDescent="0.25">
      <c r="B5" s="14" t="s">
        <v>10</v>
      </c>
      <c r="C5" s="15" t="s">
        <v>11</v>
      </c>
      <c r="D5" s="16" t="s">
        <v>12</v>
      </c>
      <c r="F5" s="17" t="s">
        <v>10</v>
      </c>
      <c r="G5" s="18" t="s">
        <v>13</v>
      </c>
      <c r="H5" s="19" t="s">
        <v>14</v>
      </c>
      <c r="J5" s="20" t="s">
        <v>15</v>
      </c>
      <c r="K5" s="21" t="s">
        <v>55</v>
      </c>
      <c r="L5" s="22" t="s">
        <v>56</v>
      </c>
      <c r="N5" s="23" t="s">
        <v>16</v>
      </c>
      <c r="O5" s="24" t="s">
        <v>17</v>
      </c>
      <c r="P5" s="25" t="s">
        <v>42</v>
      </c>
      <c r="R5" s="40" t="s">
        <v>106</v>
      </c>
      <c r="S5" s="41" t="s">
        <v>119</v>
      </c>
      <c r="T5" s="42" t="s">
        <v>117</v>
      </c>
    </row>
    <row r="6" spans="2:20" x14ac:dyDescent="0.25">
      <c r="B6" s="3" t="s">
        <v>31</v>
      </c>
      <c r="C6" s="4">
        <v>14</v>
      </c>
      <c r="D6" s="5"/>
      <c r="F6" s="3" t="s">
        <v>0</v>
      </c>
      <c r="G6" s="4">
        <v>90</v>
      </c>
      <c r="H6" s="5"/>
      <c r="I6" s="9"/>
      <c r="J6" s="3" t="s">
        <v>43</v>
      </c>
      <c r="K6" s="28">
        <f t="shared" ref="K6:K15" ca="1" si="0">RANDBETWEEN(300,1000)</f>
        <v>940</v>
      </c>
      <c r="L6" s="5"/>
      <c r="N6" s="3" t="s">
        <v>18</v>
      </c>
      <c r="O6" s="11">
        <v>33000</v>
      </c>
      <c r="P6" s="5"/>
      <c r="R6" s="3" t="s">
        <v>107</v>
      </c>
      <c r="S6" s="11" t="s">
        <v>101</v>
      </c>
      <c r="T6" s="5"/>
    </row>
    <row r="7" spans="2:20" x14ac:dyDescent="0.25">
      <c r="B7" s="3" t="s">
        <v>32</v>
      </c>
      <c r="C7" s="4">
        <v>13</v>
      </c>
      <c r="D7" s="5"/>
      <c r="F7" s="3" t="s">
        <v>1</v>
      </c>
      <c r="G7" s="4">
        <v>81</v>
      </c>
      <c r="H7" s="5"/>
      <c r="I7" s="9"/>
      <c r="J7" s="3" t="s">
        <v>44</v>
      </c>
      <c r="K7" s="28">
        <f t="shared" ca="1" si="0"/>
        <v>659</v>
      </c>
      <c r="L7" s="5"/>
      <c r="N7" s="3" t="s">
        <v>19</v>
      </c>
      <c r="O7" s="11">
        <v>23000</v>
      </c>
      <c r="P7" s="5"/>
      <c r="R7" s="3" t="s">
        <v>108</v>
      </c>
      <c r="S7" s="11" t="s">
        <v>102</v>
      </c>
      <c r="T7" s="5"/>
    </row>
    <row r="8" spans="2:20" x14ac:dyDescent="0.25">
      <c r="B8" s="3" t="s">
        <v>33</v>
      </c>
      <c r="C8" s="4">
        <v>18</v>
      </c>
      <c r="D8" s="5"/>
      <c r="F8" s="3" t="s">
        <v>2</v>
      </c>
      <c r="G8" s="4">
        <v>100</v>
      </c>
      <c r="H8" s="5"/>
      <c r="I8" s="9"/>
      <c r="J8" s="3" t="s">
        <v>45</v>
      </c>
      <c r="K8" s="28">
        <f t="shared" ca="1" si="0"/>
        <v>469</v>
      </c>
      <c r="L8" s="5"/>
      <c r="N8" s="3" t="s">
        <v>20</v>
      </c>
      <c r="O8" s="11">
        <v>11000</v>
      </c>
      <c r="P8" s="5"/>
      <c r="R8" s="3" t="s">
        <v>109</v>
      </c>
      <c r="S8" s="11" t="s">
        <v>103</v>
      </c>
      <c r="T8" s="5"/>
    </row>
    <row r="9" spans="2:20" x14ac:dyDescent="0.25">
      <c r="B9" s="3" t="s">
        <v>34</v>
      </c>
      <c r="C9" s="4">
        <v>16</v>
      </c>
      <c r="D9" s="5"/>
      <c r="F9" s="3" t="s">
        <v>3</v>
      </c>
      <c r="G9" s="4">
        <v>71</v>
      </c>
      <c r="H9" s="5"/>
      <c r="I9" s="9"/>
      <c r="J9" s="3" t="s">
        <v>46</v>
      </c>
      <c r="K9" s="28">
        <f t="shared" ca="1" si="0"/>
        <v>340</v>
      </c>
      <c r="L9" s="5"/>
      <c r="N9" s="3" t="s">
        <v>21</v>
      </c>
      <c r="O9" s="11">
        <v>25000</v>
      </c>
      <c r="P9" s="5"/>
      <c r="R9" s="3" t="s">
        <v>110</v>
      </c>
      <c r="S9" s="11" t="s">
        <v>104</v>
      </c>
      <c r="T9" s="5"/>
    </row>
    <row r="10" spans="2:20" x14ac:dyDescent="0.25">
      <c r="B10" s="3" t="s">
        <v>35</v>
      </c>
      <c r="C10" s="4">
        <v>34</v>
      </c>
      <c r="D10" s="5"/>
      <c r="F10" s="3" t="s">
        <v>4</v>
      </c>
      <c r="G10" s="4">
        <v>42</v>
      </c>
      <c r="H10" s="5"/>
      <c r="I10" s="9"/>
      <c r="J10" s="3" t="s">
        <v>47</v>
      </c>
      <c r="K10" s="28">
        <f t="shared" ca="1" si="0"/>
        <v>467</v>
      </c>
      <c r="L10" s="5"/>
      <c r="N10" s="3" t="s">
        <v>22</v>
      </c>
      <c r="O10" s="11">
        <v>35000</v>
      </c>
      <c r="P10" s="5"/>
      <c r="R10" s="3" t="s">
        <v>111</v>
      </c>
      <c r="S10" s="11" t="s">
        <v>101</v>
      </c>
      <c r="T10" s="5"/>
    </row>
    <row r="11" spans="2:20" x14ac:dyDescent="0.25">
      <c r="B11" s="3" t="s">
        <v>36</v>
      </c>
      <c r="C11" s="4">
        <v>30</v>
      </c>
      <c r="D11" s="5"/>
      <c r="F11" s="3" t="s">
        <v>5</v>
      </c>
      <c r="G11" s="4">
        <v>35</v>
      </c>
      <c r="H11" s="5"/>
      <c r="I11" s="9"/>
      <c r="J11" s="3" t="s">
        <v>48</v>
      </c>
      <c r="K11" s="28">
        <f t="shared" ca="1" si="0"/>
        <v>820</v>
      </c>
      <c r="L11" s="5"/>
      <c r="N11" s="3" t="s">
        <v>23</v>
      </c>
      <c r="O11" s="11">
        <v>11000</v>
      </c>
      <c r="P11" s="5"/>
      <c r="R11" s="3" t="s">
        <v>112</v>
      </c>
      <c r="S11" s="11" t="s">
        <v>104</v>
      </c>
      <c r="T11" s="5"/>
    </row>
    <row r="12" spans="2:20" x14ac:dyDescent="0.25">
      <c r="B12" s="3" t="s">
        <v>37</v>
      </c>
      <c r="C12" s="4">
        <v>30</v>
      </c>
      <c r="D12" s="5"/>
      <c r="F12" s="3" t="s">
        <v>6</v>
      </c>
      <c r="G12" s="4">
        <v>91</v>
      </c>
      <c r="H12" s="5"/>
      <c r="I12" s="9"/>
      <c r="J12" s="3" t="s">
        <v>49</v>
      </c>
      <c r="K12" s="28">
        <f t="shared" ca="1" si="0"/>
        <v>586</v>
      </c>
      <c r="L12" s="5"/>
      <c r="N12" s="3" t="s">
        <v>24</v>
      </c>
      <c r="O12" s="11">
        <v>46000</v>
      </c>
      <c r="P12" s="5"/>
      <c r="R12" s="3" t="s">
        <v>113</v>
      </c>
      <c r="S12" s="11" t="s">
        <v>101</v>
      </c>
      <c r="T12" s="5"/>
    </row>
    <row r="13" spans="2:20" x14ac:dyDescent="0.25">
      <c r="B13" s="3" t="s">
        <v>38</v>
      </c>
      <c r="C13" s="4">
        <v>30</v>
      </c>
      <c r="D13" s="5"/>
      <c r="F13" s="3" t="s">
        <v>7</v>
      </c>
      <c r="G13" s="4">
        <v>75</v>
      </c>
      <c r="H13" s="5"/>
      <c r="I13" s="9"/>
      <c r="J13" s="3" t="s">
        <v>50</v>
      </c>
      <c r="K13" s="28">
        <f t="shared" ca="1" si="0"/>
        <v>389</v>
      </c>
      <c r="L13" s="5"/>
      <c r="N13" s="3" t="s">
        <v>25</v>
      </c>
      <c r="O13" s="11">
        <v>39000</v>
      </c>
      <c r="P13" s="5"/>
      <c r="R13" s="3" t="s">
        <v>114</v>
      </c>
      <c r="S13" s="11" t="s">
        <v>104</v>
      </c>
      <c r="T13" s="5"/>
    </row>
    <row r="14" spans="2:20" x14ac:dyDescent="0.25">
      <c r="B14" s="3" t="s">
        <v>39</v>
      </c>
      <c r="C14" s="4">
        <v>30</v>
      </c>
      <c r="D14" s="5"/>
      <c r="F14" s="3" t="s">
        <v>8</v>
      </c>
      <c r="G14" s="4">
        <v>97</v>
      </c>
      <c r="H14" s="5"/>
      <c r="I14" s="9"/>
      <c r="J14" s="3" t="s">
        <v>51</v>
      </c>
      <c r="K14" s="28">
        <f t="shared" ca="1" si="0"/>
        <v>931</v>
      </c>
      <c r="L14" s="5"/>
      <c r="N14" s="3" t="s">
        <v>26</v>
      </c>
      <c r="O14" s="11">
        <v>40000</v>
      </c>
      <c r="P14" s="5"/>
      <c r="R14" s="3" t="s">
        <v>115</v>
      </c>
      <c r="S14" s="11" t="s">
        <v>103</v>
      </c>
      <c r="T14" s="5"/>
    </row>
    <row r="15" spans="2:20" ht="15.75" thickBot="1" x14ac:dyDescent="0.3">
      <c r="B15" s="6" t="s">
        <v>40</v>
      </c>
      <c r="C15" s="7">
        <v>30</v>
      </c>
      <c r="D15" s="8"/>
      <c r="F15" s="6" t="s">
        <v>9</v>
      </c>
      <c r="G15" s="7">
        <v>65</v>
      </c>
      <c r="H15" s="8"/>
      <c r="I15" s="9"/>
      <c r="J15" s="6" t="s">
        <v>52</v>
      </c>
      <c r="K15" s="29">
        <f t="shared" ca="1" si="0"/>
        <v>953</v>
      </c>
      <c r="L15" s="8"/>
      <c r="N15" s="6" t="s">
        <v>27</v>
      </c>
      <c r="O15" s="12">
        <v>19000</v>
      </c>
      <c r="P15" s="8"/>
      <c r="R15" s="6" t="s">
        <v>116</v>
      </c>
      <c r="S15" s="12" t="s">
        <v>105</v>
      </c>
      <c r="T15" s="8"/>
    </row>
    <row r="19" spans="2:20" ht="15.75" thickBot="1" x14ac:dyDescent="0.3">
      <c r="B19" s="46" t="s">
        <v>135</v>
      </c>
      <c r="C19" s="46"/>
      <c r="D19" s="46"/>
      <c r="F19" s="46" t="s">
        <v>134</v>
      </c>
      <c r="G19" s="46"/>
      <c r="H19" s="46"/>
      <c r="J19" s="46" t="s">
        <v>136</v>
      </c>
      <c r="K19" s="46"/>
      <c r="L19" s="46"/>
      <c r="N19" s="46" t="s">
        <v>133</v>
      </c>
      <c r="O19" s="46"/>
      <c r="P19" s="46"/>
      <c r="R19" s="46" t="s">
        <v>132</v>
      </c>
      <c r="S19" s="46"/>
      <c r="T19" s="46"/>
    </row>
    <row r="20" spans="2:20" x14ac:dyDescent="0.25">
      <c r="B20" s="17" t="s">
        <v>10</v>
      </c>
      <c r="C20" s="18" t="s">
        <v>74</v>
      </c>
      <c r="D20" s="19" t="s">
        <v>73</v>
      </c>
      <c r="F20" s="14" t="s">
        <v>10</v>
      </c>
      <c r="G20" s="15" t="s">
        <v>69</v>
      </c>
      <c r="H20" s="16" t="s">
        <v>72</v>
      </c>
      <c r="J20" s="33" t="s">
        <v>90</v>
      </c>
      <c r="K20" s="34" t="s">
        <v>89</v>
      </c>
      <c r="L20" s="35" t="s">
        <v>88</v>
      </c>
      <c r="N20" s="30" t="s">
        <v>87</v>
      </c>
      <c r="O20" s="31" t="s">
        <v>86</v>
      </c>
      <c r="P20" s="32" t="s">
        <v>75</v>
      </c>
      <c r="R20" s="43" t="s">
        <v>16</v>
      </c>
      <c r="S20" s="44" t="s">
        <v>130</v>
      </c>
      <c r="T20" s="45" t="s">
        <v>131</v>
      </c>
    </row>
    <row r="21" spans="2:20" x14ac:dyDescent="0.25">
      <c r="B21" s="3" t="s">
        <v>0</v>
      </c>
      <c r="C21" s="4" t="s">
        <v>67</v>
      </c>
      <c r="D21" s="5"/>
      <c r="F21" s="3" t="s">
        <v>57</v>
      </c>
      <c r="G21" s="4" t="s">
        <v>67</v>
      </c>
      <c r="H21" s="5"/>
      <c r="J21" s="3" t="s">
        <v>91</v>
      </c>
      <c r="K21" s="38">
        <f t="shared" ref="K21:K30" ca="1" si="1">RANDBETWEEN(-10,40)</f>
        <v>35</v>
      </c>
      <c r="L21" s="5"/>
      <c r="N21" s="3" t="s">
        <v>76</v>
      </c>
      <c r="O21" s="28">
        <f ca="1">RANDBETWEEN(20,300)</f>
        <v>130</v>
      </c>
      <c r="P21" s="5"/>
      <c r="R21" s="3" t="s">
        <v>120</v>
      </c>
      <c r="S21" s="36">
        <f ca="1">RANDBETWEEN(3,12)</f>
        <v>11</v>
      </c>
      <c r="T21" s="5"/>
    </row>
    <row r="22" spans="2:20" x14ac:dyDescent="0.25">
      <c r="B22" s="3" t="s">
        <v>1</v>
      </c>
      <c r="C22" s="4" t="s">
        <v>68</v>
      </c>
      <c r="D22" s="5"/>
      <c r="F22" s="3" t="s">
        <v>58</v>
      </c>
      <c r="G22" s="4" t="s">
        <v>68</v>
      </c>
      <c r="H22" s="5"/>
      <c r="J22" s="3" t="s">
        <v>92</v>
      </c>
      <c r="K22" s="38">
        <f t="shared" ca="1" si="1"/>
        <v>12</v>
      </c>
      <c r="L22" s="5"/>
      <c r="N22" s="3" t="s">
        <v>77</v>
      </c>
      <c r="O22" s="28">
        <f t="shared" ref="O22:O30" ca="1" si="2">RANDBETWEEN(20,300)</f>
        <v>97</v>
      </c>
      <c r="P22" s="5"/>
      <c r="R22" s="3" t="s">
        <v>121</v>
      </c>
      <c r="S22" s="36">
        <f t="shared" ref="S22:S30" ca="1" si="3">RANDBETWEEN(3,12)</f>
        <v>7</v>
      </c>
      <c r="T22" s="5"/>
    </row>
    <row r="23" spans="2:20" x14ac:dyDescent="0.25">
      <c r="B23" s="3" t="s">
        <v>2</v>
      </c>
      <c r="C23" s="4" t="s">
        <v>67</v>
      </c>
      <c r="D23" s="5"/>
      <c r="F23" s="3" t="s">
        <v>59</v>
      </c>
      <c r="G23" s="4" t="s">
        <v>67</v>
      </c>
      <c r="H23" s="5"/>
      <c r="J23" s="3" t="s">
        <v>93</v>
      </c>
      <c r="K23" s="38">
        <f t="shared" ca="1" si="1"/>
        <v>-8</v>
      </c>
      <c r="L23" s="5"/>
      <c r="N23" s="3" t="s">
        <v>78</v>
      </c>
      <c r="O23" s="28">
        <f t="shared" ca="1" si="2"/>
        <v>233</v>
      </c>
      <c r="P23" s="5"/>
      <c r="R23" s="3" t="s">
        <v>122</v>
      </c>
      <c r="S23" s="36">
        <f t="shared" ca="1" si="3"/>
        <v>6</v>
      </c>
      <c r="T23" s="5"/>
    </row>
    <row r="24" spans="2:20" x14ac:dyDescent="0.25">
      <c r="B24" s="3" t="s">
        <v>3</v>
      </c>
      <c r="C24" s="4" t="s">
        <v>67</v>
      </c>
      <c r="D24" s="5"/>
      <c r="F24" s="3" t="s">
        <v>60</v>
      </c>
      <c r="G24" s="4" t="s">
        <v>67</v>
      </c>
      <c r="H24" s="5"/>
      <c r="J24" s="3" t="s">
        <v>94</v>
      </c>
      <c r="K24" s="38">
        <f t="shared" ca="1" si="1"/>
        <v>39</v>
      </c>
      <c r="L24" s="5"/>
      <c r="N24" s="3" t="s">
        <v>79</v>
      </c>
      <c r="O24" s="28">
        <f t="shared" ca="1" si="2"/>
        <v>291</v>
      </c>
      <c r="P24" s="5"/>
      <c r="R24" s="3" t="s">
        <v>123</v>
      </c>
      <c r="S24" s="36">
        <f t="shared" ca="1" si="3"/>
        <v>10</v>
      </c>
      <c r="T24" s="5"/>
    </row>
    <row r="25" spans="2:20" x14ac:dyDescent="0.25">
      <c r="B25" s="3" t="s">
        <v>4</v>
      </c>
      <c r="C25" s="4" t="s">
        <v>68</v>
      </c>
      <c r="D25" s="5"/>
      <c r="F25" s="3" t="s">
        <v>61</v>
      </c>
      <c r="G25" s="4" t="s">
        <v>67</v>
      </c>
      <c r="H25" s="5"/>
      <c r="J25" s="3" t="s">
        <v>95</v>
      </c>
      <c r="K25" s="38">
        <f t="shared" ca="1" si="1"/>
        <v>36</v>
      </c>
      <c r="L25" s="5"/>
      <c r="N25" s="3" t="s">
        <v>80</v>
      </c>
      <c r="O25" s="28">
        <f t="shared" ca="1" si="2"/>
        <v>288</v>
      </c>
      <c r="P25" s="5"/>
      <c r="R25" s="3" t="s">
        <v>124</v>
      </c>
      <c r="S25" s="36">
        <f t="shared" ca="1" si="3"/>
        <v>7</v>
      </c>
      <c r="T25" s="5"/>
    </row>
    <row r="26" spans="2:20" x14ac:dyDescent="0.25">
      <c r="B26" s="3" t="s">
        <v>5</v>
      </c>
      <c r="C26" s="4" t="s">
        <v>68</v>
      </c>
      <c r="D26" s="5"/>
      <c r="F26" s="3" t="s">
        <v>62</v>
      </c>
      <c r="G26" s="4" t="s">
        <v>68</v>
      </c>
      <c r="H26" s="5"/>
      <c r="J26" s="3" t="s">
        <v>96</v>
      </c>
      <c r="K26" s="38">
        <f t="shared" ca="1" si="1"/>
        <v>18</v>
      </c>
      <c r="L26" s="5"/>
      <c r="N26" s="3" t="s">
        <v>81</v>
      </c>
      <c r="O26" s="28">
        <f t="shared" ca="1" si="2"/>
        <v>173</v>
      </c>
      <c r="P26" s="5"/>
      <c r="R26" s="3" t="s">
        <v>125</v>
      </c>
      <c r="S26" s="36">
        <f t="shared" ca="1" si="3"/>
        <v>5</v>
      </c>
      <c r="T26" s="5"/>
    </row>
    <row r="27" spans="2:20" x14ac:dyDescent="0.25">
      <c r="B27" s="3" t="s">
        <v>6</v>
      </c>
      <c r="C27" s="4" t="s">
        <v>68</v>
      </c>
      <c r="D27" s="5"/>
      <c r="F27" s="3" t="s">
        <v>63</v>
      </c>
      <c r="G27" s="4" t="s">
        <v>67</v>
      </c>
      <c r="H27" s="5"/>
      <c r="J27" s="3" t="s">
        <v>97</v>
      </c>
      <c r="K27" s="38">
        <f t="shared" ca="1" si="1"/>
        <v>0</v>
      </c>
      <c r="L27" s="5"/>
      <c r="N27" s="3" t="s">
        <v>82</v>
      </c>
      <c r="O27" s="28">
        <f t="shared" ca="1" si="2"/>
        <v>231</v>
      </c>
      <c r="P27" s="5"/>
      <c r="R27" s="3" t="s">
        <v>126</v>
      </c>
      <c r="S27" s="36">
        <f t="shared" ca="1" si="3"/>
        <v>12</v>
      </c>
      <c r="T27" s="5"/>
    </row>
    <row r="28" spans="2:20" x14ac:dyDescent="0.25">
      <c r="B28" s="3" t="s">
        <v>7</v>
      </c>
      <c r="C28" s="4" t="s">
        <v>67</v>
      </c>
      <c r="D28" s="5"/>
      <c r="F28" s="3" t="s">
        <v>64</v>
      </c>
      <c r="G28" s="4" t="s">
        <v>70</v>
      </c>
      <c r="H28" s="5"/>
      <c r="J28" s="3" t="s">
        <v>98</v>
      </c>
      <c r="K28" s="38">
        <f t="shared" ca="1" si="1"/>
        <v>36</v>
      </c>
      <c r="L28" s="5"/>
      <c r="N28" s="3" t="s">
        <v>83</v>
      </c>
      <c r="O28" s="28">
        <f t="shared" ca="1" si="2"/>
        <v>298</v>
      </c>
      <c r="P28" s="5"/>
      <c r="R28" s="3" t="s">
        <v>127</v>
      </c>
      <c r="S28" s="36">
        <f t="shared" ca="1" si="3"/>
        <v>4</v>
      </c>
      <c r="T28" s="5"/>
    </row>
    <row r="29" spans="2:20" x14ac:dyDescent="0.25">
      <c r="B29" s="3" t="s">
        <v>8</v>
      </c>
      <c r="C29" s="4" t="s">
        <v>67</v>
      </c>
      <c r="D29" s="5"/>
      <c r="F29" s="3" t="s">
        <v>65</v>
      </c>
      <c r="G29" s="4" t="s">
        <v>71</v>
      </c>
      <c r="H29" s="5"/>
      <c r="J29" s="3" t="s">
        <v>99</v>
      </c>
      <c r="K29" s="38">
        <f t="shared" ca="1" si="1"/>
        <v>5</v>
      </c>
      <c r="L29" s="5"/>
      <c r="N29" s="3" t="s">
        <v>84</v>
      </c>
      <c r="O29" s="28">
        <f t="shared" ca="1" si="2"/>
        <v>292</v>
      </c>
      <c r="P29" s="5"/>
      <c r="R29" s="3" t="s">
        <v>128</v>
      </c>
      <c r="S29" s="36">
        <f t="shared" ca="1" si="3"/>
        <v>12</v>
      </c>
      <c r="T29" s="5"/>
    </row>
    <row r="30" spans="2:20" ht="15.75" thickBot="1" x14ac:dyDescent="0.3">
      <c r="B30" s="6" t="s">
        <v>9</v>
      </c>
      <c r="C30" s="7" t="s">
        <v>68</v>
      </c>
      <c r="D30" s="8"/>
      <c r="F30" s="6" t="s">
        <v>66</v>
      </c>
      <c r="G30" s="7" t="s">
        <v>68</v>
      </c>
      <c r="H30" s="8"/>
      <c r="J30" s="6" t="s">
        <v>100</v>
      </c>
      <c r="K30" s="39">
        <f t="shared" ca="1" si="1"/>
        <v>1</v>
      </c>
      <c r="L30" s="8"/>
      <c r="N30" s="6" t="s">
        <v>85</v>
      </c>
      <c r="O30" s="29">
        <f t="shared" ca="1" si="2"/>
        <v>211</v>
      </c>
      <c r="P30" s="8"/>
      <c r="R30" s="6" t="s">
        <v>129</v>
      </c>
      <c r="S30" s="37">
        <f t="shared" ca="1" si="3"/>
        <v>9</v>
      </c>
      <c r="T30" s="8"/>
    </row>
  </sheetData>
  <mergeCells count="5">
    <mergeCell ref="R19:T19"/>
    <mergeCell ref="N19:P19"/>
    <mergeCell ref="F19:H19"/>
    <mergeCell ref="B19:D19"/>
    <mergeCell ref="J19:L19"/>
  </mergeCells>
  <pageMargins left="0.7" right="0.7" top="0.75" bottom="0.75" header="0.3" footer="0.3"/>
  <pageSetup paperSize="9" orientation="portrait" horizontalDpi="4294967294" verticalDpi="4294967294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Salon1-021</dc:creator>
  <cp:lastModifiedBy>fernando monroy</cp:lastModifiedBy>
  <dcterms:created xsi:type="dcterms:W3CDTF">2019-10-16T14:21:27Z</dcterms:created>
  <dcterms:modified xsi:type="dcterms:W3CDTF">2023-02-18T12:43:48Z</dcterms:modified>
</cp:coreProperties>
</file>