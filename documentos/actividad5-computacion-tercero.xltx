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ferna\Documents\Proyectos Web\reyesmonroy.github.io\documentos\"/>
    </mc:Choice>
  </mc:AlternateContent>
  <bookViews>
    <workbookView xWindow="-120" yWindow="-120" windowWidth="20730" windowHeight="11160"/>
  </bookViews>
  <sheets>
    <sheet name="Productos" sheetId="1" r:id="rId1"/>
    <sheet name="Productos (2)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2" l="1"/>
  <c r="E20" i="2" s="1"/>
  <c r="G20" i="2" s="1"/>
  <c r="C19" i="2"/>
  <c r="E19" i="2" s="1"/>
  <c r="G19" i="2" s="1"/>
  <c r="C18" i="2"/>
  <c r="E18" i="2" s="1"/>
  <c r="G18" i="2" s="1"/>
  <c r="C17" i="2"/>
  <c r="E17" i="2" s="1"/>
  <c r="G17" i="2" s="1"/>
  <c r="C16" i="2"/>
  <c r="E16" i="2" s="1"/>
  <c r="G16" i="2" s="1"/>
  <c r="C15" i="2"/>
  <c r="E15" i="2" s="1"/>
  <c r="G15" i="2" s="1"/>
  <c r="C14" i="2"/>
  <c r="E14" i="2" s="1"/>
  <c r="G14" i="2" s="1"/>
  <c r="C13" i="2"/>
  <c r="E13" i="2" s="1"/>
  <c r="G13" i="2" s="1"/>
  <c r="C12" i="2"/>
  <c r="E12" i="2" s="1"/>
  <c r="G12" i="2" s="1"/>
  <c r="C11" i="2"/>
  <c r="E11" i="2" s="1"/>
  <c r="G11" i="2" s="1"/>
  <c r="C10" i="2"/>
  <c r="E10" i="2" s="1"/>
  <c r="G10" i="2" s="1"/>
  <c r="C9" i="2"/>
  <c r="E9" i="2" s="1"/>
  <c r="G9" i="2" s="1"/>
  <c r="C8" i="2"/>
  <c r="E8" i="2" s="1"/>
  <c r="G8" i="2" s="1"/>
  <c r="C7" i="2"/>
  <c r="E7" i="2" s="1"/>
  <c r="G7" i="2" s="1"/>
  <c r="C6" i="2"/>
  <c r="E6" i="2" s="1"/>
  <c r="G6" i="2" s="1"/>
  <c r="C5" i="2"/>
  <c r="E5" i="2" s="1"/>
  <c r="G5" i="2" s="1"/>
  <c r="C4" i="2"/>
  <c r="E4" i="2" s="1"/>
  <c r="G4" i="2" s="1"/>
  <c r="C3" i="2"/>
  <c r="E3" i="2" s="1"/>
  <c r="G3" i="2" l="1"/>
  <c r="J3" i="2" s="1"/>
  <c r="I3" i="2"/>
</calcChain>
</file>

<file path=xl/sharedStrings.xml><?xml version="1.0" encoding="utf-8"?>
<sst xmlns="http://schemas.openxmlformats.org/spreadsheetml/2006/main" count="102" uniqueCount="50">
  <si>
    <t>Gastos Indispensables</t>
  </si>
  <si>
    <t>Producto</t>
  </si>
  <si>
    <t>Cantidad</t>
  </si>
  <si>
    <t>Leche</t>
  </si>
  <si>
    <t>1 galón</t>
  </si>
  <si>
    <t>Arroz</t>
  </si>
  <si>
    <t>1 kilo</t>
  </si>
  <si>
    <t>Maizena</t>
  </si>
  <si>
    <t>7 sobres</t>
  </si>
  <si>
    <t>Café soluble</t>
  </si>
  <si>
    <t>200 grms.</t>
  </si>
  <si>
    <t>Frijol</t>
  </si>
  <si>
    <t>2 kilos</t>
  </si>
  <si>
    <t>Sopa</t>
  </si>
  <si>
    <t>Huevos</t>
  </si>
  <si>
    <t>2 docenas</t>
  </si>
  <si>
    <t>Consomate</t>
  </si>
  <si>
    <t>8 cubos</t>
  </si>
  <si>
    <t>Harina de trigo</t>
  </si>
  <si>
    <t>4 kilos</t>
  </si>
  <si>
    <t>Azúcar</t>
  </si>
  <si>
    <t>Aceite</t>
  </si>
  <si>
    <t>3 litros</t>
  </si>
  <si>
    <t>Manteca vegetal</t>
  </si>
  <si>
    <t>Papa blanca</t>
  </si>
  <si>
    <t>Jitomate</t>
  </si>
  <si>
    <t>3 kilos</t>
  </si>
  <si>
    <t>Pierna y muslo de pollo</t>
  </si>
  <si>
    <t>Royal</t>
  </si>
  <si>
    <t>125 grms.</t>
  </si>
  <si>
    <t>Chiles</t>
  </si>
  <si>
    <t>1 lata</t>
  </si>
  <si>
    <t>Chile verde</t>
  </si>
  <si>
    <t>Cebollas</t>
  </si>
  <si>
    <t>Precio unitario</t>
  </si>
  <si>
    <t>Total dólares</t>
  </si>
  <si>
    <t>Total Quetzales</t>
  </si>
  <si>
    <t>Existencias</t>
  </si>
  <si>
    <t>Tasa de Cambio</t>
  </si>
  <si>
    <t>Total Dorales</t>
  </si>
  <si>
    <t>Total General Q.</t>
  </si>
  <si>
    <t>Total General $</t>
  </si>
  <si>
    <t>Promedio Total General Q.</t>
  </si>
  <si>
    <t>Contar Total General Q.</t>
  </si>
  <si>
    <t>Contar Total General $</t>
  </si>
  <si>
    <t>Promedio Total General $</t>
  </si>
  <si>
    <t>Maximo Total General Q.</t>
  </si>
  <si>
    <t>Maximo Total General $</t>
  </si>
  <si>
    <t>Minimo Total General Q.</t>
  </si>
  <si>
    <t>Minimo Total General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</si>
</sst>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Q&quot;* #,##0.00_-;\-&quot;Q&quot;* #,##0.00_-;_-&quot;Q&quot;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44" fontId="0" fillId="0" borderId="0" xfId="0" applyNumberFormat="1"/>
    <xf numFmtId="44" fontId="0" fillId="2" borderId="0" xfId="0" applyNumberFormat="1" applyFill="1"/>
    <xf numFmtId="2" fontId="0" fillId="3" borderId="0" xfId="0" applyNumberFormat="1" applyFill="1"/>
    <xf numFmtId="0" fontId="1" fillId="2" borderId="0" xfId="0" applyFont="1" applyFill="1"/>
    <xf numFmtId="0" fontId="1" fillId="3" borderId="0" xfId="0" applyFont="1" applyFill="1"/>
    <xf numFmtId="0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2"/>
  <sheetViews>
    <sheetView tabSelected="1" zoomScale="160" zoomScaleNormal="160" workbookViewId="0">
      <selection activeCell="F15" sqref="F15"/>
    </sheetView>
  </sheetViews>
  <sheetFormatPr baseColWidth="10" defaultRowHeight="15" x14ac:dyDescent="0.25"/>
  <cols>
    <col min="1" max="1" width="22" bestFit="1" customWidth="1"/>
    <col min="4" max="4" width="14" bestFit="1" customWidth="1"/>
    <col min="5" max="5" width="14.7109375" bestFit="1" customWidth="1"/>
    <col min="6" max="6" width="14.7109375" customWidth="1"/>
    <col min="7" max="7" width="12.42578125" bestFit="1" customWidth="1"/>
    <col min="8" max="8" width="4.85546875" customWidth="1"/>
    <col min="9" max="9" width="24.85546875" bestFit="1" customWidth="1"/>
    <col min="10" max="10" width="23.85546875" bestFit="1" customWidth="1"/>
  </cols>
  <sheetData>
    <row r="1" spans="1:10" x14ac:dyDescent="0.25">
      <c r="A1" t="s">
        <v>0</v>
      </c>
    </row>
    <row r="2" spans="1:10" x14ac:dyDescent="0.25">
      <c r="A2" t="s">
        <v>1</v>
      </c>
      <c r="B2" t="s">
        <v>2</v>
      </c>
      <c r="C2" t="s">
        <v>37</v>
      </c>
      <c r="D2" t="s">
        <v>34</v>
      </c>
      <c r="E2" t="s">
        <v>36</v>
      </c>
      <c r="F2" t="s">
        <v>38</v>
      </c>
      <c r="G2" t="s">
        <v>35</v>
      </c>
      <c r="I2" s="5" t="s">
        <v>40</v>
      </c>
      <c r="J2" s="6" t="s">
        <v>41</v>
      </c>
    </row>
    <row r="3" spans="1:10" x14ac:dyDescent="0.25">
      <c r="I3" s="3"/>
      <c r="J3" s="4"/>
    </row>
    <row r="4" spans="1:10" x14ac:dyDescent="0.25">
      <c r="A4" t="s">
        <v>3</v>
      </c>
      <c r="B4" t="s">
        <v>4</v>
      </c>
      <c r="C4" s="8">
        <v>9</v>
      </c>
      <c r="D4" s="2">
        <v>31.6</v>
      </c>
      <c r="E4" s="7"/>
      <c r="F4" s="7"/>
      <c r="G4" s="7"/>
    </row>
    <row r="5" spans="1:10" x14ac:dyDescent="0.25">
      <c r="A5" t="s">
        <v>5</v>
      </c>
      <c r="B5" t="s">
        <v>6</v>
      </c>
      <c r="C5" s="8">
        <v>7</v>
      </c>
      <c r="D5" s="2">
        <v>6.69</v>
      </c>
      <c r="E5" s="7"/>
      <c r="F5" s="7"/>
      <c r="G5" s="7"/>
      <c r="I5" s="5" t="s">
        <v>43</v>
      </c>
      <c r="J5" s="6" t="s">
        <v>44</v>
      </c>
    </row>
    <row r="6" spans="1:10" x14ac:dyDescent="0.25">
      <c r="A6" t="s">
        <v>7</v>
      </c>
      <c r="B6" t="s">
        <v>8</v>
      </c>
      <c r="C6" s="8">
        <v>14</v>
      </c>
      <c r="D6" s="2">
        <v>1.99</v>
      </c>
      <c r="E6" s="7"/>
      <c r="F6" s="7"/>
      <c r="G6" s="7"/>
      <c r="I6" s="3"/>
      <c r="J6" s="4"/>
    </row>
    <row r="7" spans="1:10" x14ac:dyDescent="0.25">
      <c r="A7" t="s">
        <v>9</v>
      </c>
      <c r="B7" t="s">
        <v>10</v>
      </c>
      <c r="C7" s="8">
        <v>22</v>
      </c>
      <c r="D7" s="2">
        <v>21.99</v>
      </c>
      <c r="E7" s="7"/>
      <c r="F7" s="7"/>
      <c r="G7" s="7"/>
    </row>
    <row r="8" spans="1:10" x14ac:dyDescent="0.25">
      <c r="A8" t="s">
        <v>11</v>
      </c>
      <c r="B8" t="s">
        <v>12</v>
      </c>
      <c r="C8" s="8">
        <v>26</v>
      </c>
      <c r="D8" s="2">
        <v>14</v>
      </c>
      <c r="E8" s="7"/>
      <c r="F8" s="7"/>
      <c r="G8" s="7"/>
      <c r="I8" s="5" t="s">
        <v>42</v>
      </c>
      <c r="J8" s="6" t="s">
        <v>45</v>
      </c>
    </row>
    <row r="9" spans="1:10" x14ac:dyDescent="0.25">
      <c r="A9" t="s">
        <v>13</v>
      </c>
      <c r="B9" t="s">
        <v>8</v>
      </c>
      <c r="C9" s="8">
        <v>26</v>
      </c>
      <c r="D9" s="2">
        <v>1.69</v>
      </c>
      <c r="E9" s="7"/>
      <c r="F9" s="7"/>
      <c r="G9" s="7"/>
      <c r="I9" s="3"/>
      <c r="J9" s="4"/>
    </row>
    <row r="10" spans="1:10" x14ac:dyDescent="0.25">
      <c r="A10" t="s">
        <v>14</v>
      </c>
      <c r="B10" t="s">
        <v>15</v>
      </c>
      <c r="C10" s="8">
        <v>22</v>
      </c>
      <c r="D10" s="2">
        <v>10.4</v>
      </c>
      <c r="E10" s="7"/>
      <c r="F10" s="7"/>
      <c r="G10" s="7"/>
    </row>
    <row r="11" spans="1:10" x14ac:dyDescent="0.25">
      <c r="A11" t="s">
        <v>16</v>
      </c>
      <c r="B11" t="s">
        <v>17</v>
      </c>
      <c r="C11" s="8">
        <v>9</v>
      </c>
      <c r="D11" s="2">
        <v>4.99</v>
      </c>
      <c r="E11" s="7"/>
      <c r="F11" s="7"/>
      <c r="G11" s="7"/>
      <c r="I11" s="5" t="s">
        <v>46</v>
      </c>
      <c r="J11" s="6" t="s">
        <v>47</v>
      </c>
    </row>
    <row r="12" spans="1:10" x14ac:dyDescent="0.25">
      <c r="A12" t="s">
        <v>18</v>
      </c>
      <c r="B12" t="s">
        <v>19</v>
      </c>
      <c r="C12" s="8">
        <v>27</v>
      </c>
      <c r="D12" s="2">
        <v>6.19</v>
      </c>
      <c r="E12" s="7"/>
      <c r="F12" s="7"/>
      <c r="G12" s="7"/>
      <c r="I12" s="3"/>
      <c r="J12" s="4"/>
    </row>
    <row r="13" spans="1:10" x14ac:dyDescent="0.25">
      <c r="A13" t="s">
        <v>20</v>
      </c>
      <c r="B13" t="s">
        <v>12</v>
      </c>
      <c r="C13" s="8">
        <v>7</v>
      </c>
      <c r="D13" s="2">
        <v>18.399999999999999</v>
      </c>
      <c r="E13" s="7"/>
      <c r="F13" s="7"/>
      <c r="G13" s="7"/>
    </row>
    <row r="14" spans="1:10" x14ac:dyDescent="0.25">
      <c r="A14" t="s">
        <v>21</v>
      </c>
      <c r="B14" t="s">
        <v>22</v>
      </c>
      <c r="C14" s="8">
        <v>16</v>
      </c>
      <c r="D14" s="2">
        <v>7.75</v>
      </c>
      <c r="E14" s="7"/>
      <c r="F14" s="7"/>
      <c r="G14" s="7"/>
      <c r="I14" s="5" t="s">
        <v>48</v>
      </c>
      <c r="J14" s="6" t="s">
        <v>49</v>
      </c>
    </row>
    <row r="15" spans="1:10" x14ac:dyDescent="0.25">
      <c r="A15" t="s">
        <v>23</v>
      </c>
      <c r="B15" t="s">
        <v>6</v>
      </c>
      <c r="C15" s="8">
        <v>5</v>
      </c>
      <c r="D15" s="2">
        <v>5.5</v>
      </c>
      <c r="E15" s="7"/>
      <c r="F15" s="7"/>
      <c r="G15" s="7"/>
      <c r="I15" s="3"/>
      <c r="J15" s="4"/>
    </row>
    <row r="16" spans="1:10" x14ac:dyDescent="0.25">
      <c r="A16" t="s">
        <v>24</v>
      </c>
      <c r="B16" t="s">
        <v>6</v>
      </c>
      <c r="C16" s="8">
        <v>9</v>
      </c>
      <c r="D16" s="2">
        <v>11</v>
      </c>
      <c r="E16" s="7"/>
      <c r="F16" s="7"/>
      <c r="G16" s="7"/>
    </row>
    <row r="17" spans="1:7" x14ac:dyDescent="0.25">
      <c r="A17" t="s">
        <v>25</v>
      </c>
      <c r="B17" t="s">
        <v>26</v>
      </c>
      <c r="C17" s="8">
        <v>24</v>
      </c>
      <c r="D17" s="2">
        <v>18</v>
      </c>
      <c r="E17" s="7"/>
      <c r="F17" s="7"/>
      <c r="G17" s="7"/>
    </row>
    <row r="18" spans="1:7" x14ac:dyDescent="0.25">
      <c r="A18" t="s">
        <v>27</v>
      </c>
      <c r="B18" t="s">
        <v>12</v>
      </c>
      <c r="C18" s="8">
        <v>25</v>
      </c>
      <c r="D18" s="2">
        <v>11</v>
      </c>
      <c r="E18" s="7"/>
      <c r="F18" s="7"/>
      <c r="G18" s="7"/>
    </row>
    <row r="19" spans="1:7" x14ac:dyDescent="0.25">
      <c r="A19" t="s">
        <v>28</v>
      </c>
      <c r="B19" t="s">
        <v>29</v>
      </c>
      <c r="C19" s="8">
        <v>21</v>
      </c>
      <c r="D19" s="2">
        <v>3.5</v>
      </c>
      <c r="E19" s="7"/>
      <c r="F19" s="7"/>
      <c r="G19" s="7"/>
    </row>
    <row r="20" spans="1:7" x14ac:dyDescent="0.25">
      <c r="A20" t="s">
        <v>30</v>
      </c>
      <c r="B20" t="s">
        <v>31</v>
      </c>
      <c r="C20" s="8">
        <v>5</v>
      </c>
      <c r="D20" s="2">
        <v>12.3</v>
      </c>
      <c r="E20" s="7"/>
      <c r="F20" s="7"/>
      <c r="G20" s="7"/>
    </row>
    <row r="21" spans="1:7" x14ac:dyDescent="0.25">
      <c r="A21" t="s">
        <v>32</v>
      </c>
      <c r="B21" t="s">
        <v>6</v>
      </c>
      <c r="C21" s="8">
        <v>7</v>
      </c>
      <c r="D21" s="2">
        <v>7.9</v>
      </c>
      <c r="E21" s="7"/>
      <c r="F21" s="7"/>
      <c r="G21" s="7"/>
    </row>
    <row r="22" spans="1:7" x14ac:dyDescent="0.25">
      <c r="A22" t="s">
        <v>33</v>
      </c>
      <c r="B22" t="s">
        <v>6</v>
      </c>
      <c r="C22" s="8">
        <v>27</v>
      </c>
      <c r="D22" s="2">
        <v>4.99</v>
      </c>
      <c r="E22" s="7"/>
      <c r="F22" s="7"/>
      <c r="G22" s="7"/>
    </row>
  </sheetData>
  <pageMargins left="0.7" right="0.7" top="0.75" bottom="0.75" header="0.3" footer="0.3"/>
  <pageSetup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zoomScale="195" zoomScaleNormal="195" workbookViewId="0">
      <selection activeCell="I10" sqref="I10"/>
    </sheetView>
  </sheetViews>
  <sheetFormatPr baseColWidth="10" defaultRowHeight="15" x14ac:dyDescent="0.25"/>
  <cols>
    <col min="4" max="4" width="14" bestFit="1" customWidth="1"/>
    <col min="5" max="5" width="14.7109375" bestFit="1" customWidth="1"/>
    <col min="6" max="6" width="14.7109375" customWidth="1"/>
    <col min="7" max="7" width="12.42578125" bestFit="1" customWidth="1"/>
    <col min="8" max="8" width="3.7109375" customWidth="1"/>
    <col min="9" max="9" width="14.7109375" bestFit="1" customWidth="1"/>
    <col min="10" max="10" width="12.5703125" bestFit="1" customWidth="1"/>
  </cols>
  <sheetData>
    <row r="1" spans="1:10" x14ac:dyDescent="0.25">
      <c r="A1" t="s">
        <v>0</v>
      </c>
    </row>
    <row r="2" spans="1:10" x14ac:dyDescent="0.25">
      <c r="A2" t="s">
        <v>1</v>
      </c>
      <c r="B2" t="s">
        <v>2</v>
      </c>
      <c r="C2" t="s">
        <v>37</v>
      </c>
      <c r="D2" t="s">
        <v>34</v>
      </c>
      <c r="E2" t="s">
        <v>36</v>
      </c>
      <c r="F2" t="s">
        <v>38</v>
      </c>
      <c r="G2" t="s">
        <v>35</v>
      </c>
      <c r="I2" t="s">
        <v>36</v>
      </c>
      <c r="J2" t="s">
        <v>39</v>
      </c>
    </row>
    <row r="3" spans="1:10" x14ac:dyDescent="0.25">
      <c r="A3" t="s">
        <v>3</v>
      </c>
      <c r="B3" t="s">
        <v>4</v>
      </c>
      <c r="C3">
        <f ca="1">RANDBETWEEN(5,30)</f>
        <v>12</v>
      </c>
      <c r="D3">
        <v>31.6</v>
      </c>
      <c r="E3" s="2">
        <f ca="1">C3*D3</f>
        <v>379.20000000000005</v>
      </c>
      <c r="F3" s="2">
        <v>7.71</v>
      </c>
      <c r="G3" s="1">
        <f ca="1">E3/F3</f>
        <v>49.18287937743191</v>
      </c>
      <c r="I3" s="2">
        <f ca="1">SUM(E3:E20)</f>
        <v>3227.2000000000003</v>
      </c>
      <c r="J3" s="1">
        <f ca="1">SUM(G3:G20)</f>
        <v>418.57328145265888</v>
      </c>
    </row>
    <row r="4" spans="1:10" x14ac:dyDescent="0.25">
      <c r="A4" t="s">
        <v>5</v>
      </c>
      <c r="B4" t="s">
        <v>6</v>
      </c>
      <c r="C4">
        <f t="shared" ref="C4:C20" ca="1" si="0">RANDBETWEEN(5,30)</f>
        <v>25</v>
      </c>
      <c r="D4">
        <v>6.69</v>
      </c>
      <c r="E4" s="2">
        <f t="shared" ref="E4:E20" ca="1" si="1">C4*D4</f>
        <v>167.25</v>
      </c>
      <c r="F4" s="2">
        <v>7.71</v>
      </c>
      <c r="G4" s="1">
        <f t="shared" ref="G4:G20" ca="1" si="2">E4/F4</f>
        <v>21.692607003891052</v>
      </c>
    </row>
    <row r="5" spans="1:10" x14ac:dyDescent="0.25">
      <c r="A5" t="s">
        <v>7</v>
      </c>
      <c r="B5" t="s">
        <v>8</v>
      </c>
      <c r="C5">
        <f t="shared" ca="1" si="0"/>
        <v>24</v>
      </c>
      <c r="D5">
        <v>1.99</v>
      </c>
      <c r="E5" s="2">
        <f t="shared" ca="1" si="1"/>
        <v>47.76</v>
      </c>
      <c r="F5" s="2">
        <v>7.71</v>
      </c>
      <c r="G5" s="1">
        <f t="shared" ca="1" si="2"/>
        <v>6.1945525291828796</v>
      </c>
    </row>
    <row r="6" spans="1:10" x14ac:dyDescent="0.25">
      <c r="A6" t="s">
        <v>9</v>
      </c>
      <c r="B6" t="s">
        <v>10</v>
      </c>
      <c r="C6">
        <f t="shared" ca="1" si="0"/>
        <v>19</v>
      </c>
      <c r="D6">
        <v>21.99</v>
      </c>
      <c r="E6" s="2">
        <f t="shared" ca="1" si="1"/>
        <v>417.80999999999995</v>
      </c>
      <c r="F6" s="2">
        <v>7.71</v>
      </c>
      <c r="G6" s="1">
        <f t="shared" ca="1" si="2"/>
        <v>54.190661478599218</v>
      </c>
    </row>
    <row r="7" spans="1:10" x14ac:dyDescent="0.25">
      <c r="A7" t="s">
        <v>11</v>
      </c>
      <c r="B7" t="s">
        <v>12</v>
      </c>
      <c r="C7">
        <f t="shared" ca="1" si="0"/>
        <v>8</v>
      </c>
      <c r="D7">
        <v>14</v>
      </c>
      <c r="E7" s="2">
        <f t="shared" ca="1" si="1"/>
        <v>112</v>
      </c>
      <c r="F7" s="2">
        <v>7.71</v>
      </c>
      <c r="G7" s="1">
        <f t="shared" ca="1" si="2"/>
        <v>14.526588845654993</v>
      </c>
    </row>
    <row r="8" spans="1:10" x14ac:dyDescent="0.25">
      <c r="A8" t="s">
        <v>13</v>
      </c>
      <c r="B8" t="s">
        <v>8</v>
      </c>
      <c r="C8">
        <f t="shared" ca="1" si="0"/>
        <v>10</v>
      </c>
      <c r="D8">
        <v>1.69</v>
      </c>
      <c r="E8" s="2">
        <f t="shared" ca="1" si="1"/>
        <v>16.899999999999999</v>
      </c>
      <c r="F8" s="2">
        <v>7.71</v>
      </c>
      <c r="G8" s="1">
        <f t="shared" ca="1" si="2"/>
        <v>2.1919584954604407</v>
      </c>
    </row>
    <row r="9" spans="1:10" x14ac:dyDescent="0.25">
      <c r="A9" t="s">
        <v>14</v>
      </c>
      <c r="B9" t="s">
        <v>15</v>
      </c>
      <c r="C9">
        <f t="shared" ca="1" si="0"/>
        <v>28</v>
      </c>
      <c r="D9">
        <v>10.4</v>
      </c>
      <c r="E9" s="2">
        <f t="shared" ca="1" si="1"/>
        <v>291.2</v>
      </c>
      <c r="F9" s="2">
        <v>7.71</v>
      </c>
      <c r="G9" s="1">
        <f t="shared" ca="1" si="2"/>
        <v>37.769130998702984</v>
      </c>
    </row>
    <row r="10" spans="1:10" x14ac:dyDescent="0.25">
      <c r="A10" t="s">
        <v>16</v>
      </c>
      <c r="B10" t="s">
        <v>17</v>
      </c>
      <c r="C10">
        <f t="shared" ca="1" si="0"/>
        <v>10</v>
      </c>
      <c r="D10">
        <v>4.99</v>
      </c>
      <c r="E10" s="2">
        <f t="shared" ca="1" si="1"/>
        <v>49.900000000000006</v>
      </c>
      <c r="F10" s="2">
        <v>7.71</v>
      </c>
      <c r="G10" s="1">
        <f t="shared" ca="1" si="2"/>
        <v>6.4721141374837883</v>
      </c>
    </row>
    <row r="11" spans="1:10" x14ac:dyDescent="0.25">
      <c r="A11" t="s">
        <v>18</v>
      </c>
      <c r="B11" t="s">
        <v>19</v>
      </c>
      <c r="C11">
        <f t="shared" ca="1" si="0"/>
        <v>12</v>
      </c>
      <c r="D11">
        <v>6.19</v>
      </c>
      <c r="E11" s="2">
        <f t="shared" ca="1" si="1"/>
        <v>74.28</v>
      </c>
      <c r="F11" s="2">
        <v>7.71</v>
      </c>
      <c r="G11" s="1">
        <f t="shared" ca="1" si="2"/>
        <v>9.6342412451361863</v>
      </c>
    </row>
    <row r="12" spans="1:10" x14ac:dyDescent="0.25">
      <c r="A12" t="s">
        <v>20</v>
      </c>
      <c r="B12" t="s">
        <v>12</v>
      </c>
      <c r="C12">
        <f t="shared" ca="1" si="0"/>
        <v>9</v>
      </c>
      <c r="D12">
        <v>18.399999999999999</v>
      </c>
      <c r="E12" s="2">
        <f t="shared" ca="1" si="1"/>
        <v>165.6</v>
      </c>
      <c r="F12" s="2">
        <v>7.71</v>
      </c>
      <c r="G12" s="1">
        <f t="shared" ca="1" si="2"/>
        <v>21.478599221789882</v>
      </c>
    </row>
    <row r="13" spans="1:10" x14ac:dyDescent="0.25">
      <c r="A13" t="s">
        <v>21</v>
      </c>
      <c r="B13" t="s">
        <v>22</v>
      </c>
      <c r="C13">
        <f t="shared" ca="1" si="0"/>
        <v>16</v>
      </c>
      <c r="D13">
        <v>7.75</v>
      </c>
      <c r="E13" s="2">
        <f t="shared" ca="1" si="1"/>
        <v>124</v>
      </c>
      <c r="F13" s="2">
        <v>7.71</v>
      </c>
      <c r="G13" s="1">
        <f t="shared" ca="1" si="2"/>
        <v>16.083009079118028</v>
      </c>
    </row>
    <row r="14" spans="1:10" x14ac:dyDescent="0.25">
      <c r="A14" t="s">
        <v>23</v>
      </c>
      <c r="B14" t="s">
        <v>6</v>
      </c>
      <c r="C14">
        <f t="shared" ca="1" si="0"/>
        <v>29</v>
      </c>
      <c r="D14">
        <v>5.5</v>
      </c>
      <c r="E14" s="2">
        <f t="shared" ca="1" si="1"/>
        <v>159.5</v>
      </c>
      <c r="F14" s="2">
        <v>7.71</v>
      </c>
      <c r="G14" s="1">
        <f t="shared" ca="1" si="2"/>
        <v>20.687418936446175</v>
      </c>
    </row>
    <row r="15" spans="1:10" x14ac:dyDescent="0.25">
      <c r="A15" t="s">
        <v>24</v>
      </c>
      <c r="B15" t="s">
        <v>6</v>
      </c>
      <c r="C15">
        <f t="shared" ca="1" si="0"/>
        <v>30</v>
      </c>
      <c r="D15">
        <v>11</v>
      </c>
      <c r="E15" s="2">
        <f t="shared" ca="1" si="1"/>
        <v>330</v>
      </c>
      <c r="F15" s="2">
        <v>7.71</v>
      </c>
      <c r="G15" s="1">
        <f t="shared" ca="1" si="2"/>
        <v>42.80155642023346</v>
      </c>
    </row>
    <row r="16" spans="1:10" x14ac:dyDescent="0.25">
      <c r="A16" t="s">
        <v>25</v>
      </c>
      <c r="B16" t="s">
        <v>26</v>
      </c>
      <c r="C16">
        <f t="shared" ca="1" si="0"/>
        <v>15</v>
      </c>
      <c r="D16">
        <v>18</v>
      </c>
      <c r="E16" s="2">
        <f t="shared" ca="1" si="1"/>
        <v>270</v>
      </c>
      <c r="F16" s="2">
        <v>7.71</v>
      </c>
      <c r="G16" s="1">
        <f t="shared" ca="1" si="2"/>
        <v>35.019455252918291</v>
      </c>
    </row>
    <row r="17" spans="1:7" x14ac:dyDescent="0.25">
      <c r="A17" t="s">
        <v>27</v>
      </c>
      <c r="B17" t="s">
        <v>12</v>
      </c>
      <c r="C17">
        <f t="shared" ca="1" si="0"/>
        <v>18</v>
      </c>
      <c r="D17">
        <v>11</v>
      </c>
      <c r="E17" s="2">
        <f t="shared" ca="1" si="1"/>
        <v>198</v>
      </c>
      <c r="F17" s="2">
        <v>7.71</v>
      </c>
      <c r="G17" s="1">
        <f t="shared" ca="1" si="2"/>
        <v>25.680933852140079</v>
      </c>
    </row>
    <row r="18" spans="1:7" x14ac:dyDescent="0.25">
      <c r="A18" t="s">
        <v>28</v>
      </c>
      <c r="B18" t="s">
        <v>29</v>
      </c>
      <c r="C18">
        <f t="shared" ca="1" si="0"/>
        <v>26</v>
      </c>
      <c r="D18">
        <v>3.5</v>
      </c>
      <c r="E18" s="2">
        <f t="shared" ca="1" si="1"/>
        <v>91</v>
      </c>
      <c r="F18" s="2">
        <v>7.71</v>
      </c>
      <c r="G18" s="1">
        <f t="shared" ca="1" si="2"/>
        <v>11.802853437094683</v>
      </c>
    </row>
    <row r="19" spans="1:7" x14ac:dyDescent="0.25">
      <c r="A19" t="s">
        <v>30</v>
      </c>
      <c r="B19" t="s">
        <v>31</v>
      </c>
      <c r="C19">
        <f t="shared" ca="1" si="0"/>
        <v>11</v>
      </c>
      <c r="D19">
        <v>12.3</v>
      </c>
      <c r="E19" s="2">
        <f t="shared" ca="1" si="1"/>
        <v>135.30000000000001</v>
      </c>
      <c r="F19" s="2">
        <v>7.71</v>
      </c>
      <c r="G19" s="1">
        <f t="shared" ca="1" si="2"/>
        <v>17.548638132295721</v>
      </c>
    </row>
    <row r="20" spans="1:7" x14ac:dyDescent="0.25">
      <c r="A20" t="s">
        <v>32</v>
      </c>
      <c r="B20" t="s">
        <v>6</v>
      </c>
      <c r="C20">
        <f t="shared" ca="1" si="0"/>
        <v>25</v>
      </c>
      <c r="D20">
        <v>7.9</v>
      </c>
      <c r="E20" s="2">
        <f t="shared" ca="1" si="1"/>
        <v>197.5</v>
      </c>
      <c r="F20" s="2">
        <v>7.71</v>
      </c>
      <c r="G20" s="1">
        <f t="shared" ca="1" si="2"/>
        <v>25.616083009079119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</vt:lpstr>
      <vt:lpstr>Productos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fernando monroy</cp:lastModifiedBy>
  <dcterms:created xsi:type="dcterms:W3CDTF">2021-02-04T03:51:55Z</dcterms:created>
  <dcterms:modified xsi:type="dcterms:W3CDTF">2023-03-04T12:21:46Z</dcterms:modified>
</cp:coreProperties>
</file>